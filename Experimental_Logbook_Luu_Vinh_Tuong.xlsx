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HCMUTE\Nam_4_1\HocMay\Final_project\"/>
    </mc:Choice>
  </mc:AlternateContent>
  <xr:revisionPtr revIDLastSave="0" documentId="13_ncr:1_{EA31AE94-5CF2-4960-A706-67C2D6E943A0}" xr6:coauthVersionLast="47" xr6:coauthVersionMax="47" xr10:uidLastSave="{00000000-0000-0000-0000-000000000000}"/>
  <bookViews>
    <workbookView xWindow="-110" yWindow="-110" windowWidth="25820" windowHeight="15500" xr2:uid="{D78B340F-D902-4F8B-9F74-03403F4EA3F8}"/>
  </bookViews>
  <sheets>
    <sheet name="Linear Regression" sheetId="2" r:id="rId1"/>
    <sheet name="Random Forest" sheetId="3" r:id="rId2"/>
    <sheet name="XG Boost" sheetId="4" r:id="rId3"/>
    <sheet name="SoSanh"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2" l="1"/>
  <c r="I6" i="2"/>
  <c r="H6" i="2"/>
  <c r="P11" i="3"/>
  <c r="O11" i="3"/>
  <c r="N11" i="3"/>
  <c r="R8" i="4"/>
  <c r="Q8" i="4"/>
  <c r="P8" i="4"/>
</calcChain>
</file>

<file path=xl/sharedStrings.xml><?xml version="1.0" encoding="utf-8"?>
<sst xmlns="http://schemas.openxmlformats.org/spreadsheetml/2006/main" count="195" uniqueCount="105">
  <si>
    <t>Mô hình</t>
  </si>
  <si>
    <t>Phương pháp đánh giá</t>
  </si>
  <si>
    <t>Chia dữ liệu</t>
  </si>
  <si>
    <t>Tham số mô hình</t>
  </si>
  <si>
    <t>LinearRegression(featuresCol="features", labelCol="popularity")</t>
  </si>
  <si>
    <t>RMSE</t>
  </si>
  <si>
    <t>regParam</t>
  </si>
  <si>
    <t>elasticNetParam</t>
  </si>
  <si>
    <t>[0.0, 0.001, 0.01, 0.1, 0.5]</t>
  </si>
  <si>
    <t>[0.0, 0.5, 1.0]</t>
  </si>
  <si>
    <t>numTrees</t>
  </si>
  <si>
    <t>maxDepth</t>
  </si>
  <si>
    <t>maxBins</t>
  </si>
  <si>
    <t>minInstancesPerNode</t>
  </si>
  <si>
    <t>featureSubsetStrategy</t>
  </si>
  <si>
    <t>Kết quả mô hình</t>
  </si>
  <si>
    <t>MAE</t>
  </si>
  <si>
    <t>R2</t>
  </si>
  <si>
    <t>RandomForestRegressor(featuresCol="features", labelCol="popularity")</t>
  </si>
  <si>
    <t>[20, 50, 100]</t>
  </si>
  <si>
    <t>[5, 10, 15]</t>
  </si>
  <si>
    <t xml:space="preserve">[32, 64]  </t>
  </si>
  <si>
    <t>defaul</t>
  </si>
  <si>
    <t>[15]</t>
  </si>
  <si>
    <t xml:space="preserve">[32]  </t>
  </si>
  <si>
    <t>[1, 2, 4]</t>
  </si>
  <si>
    <t>"auto", "sqrt", "log2", "onethird", "all" ]</t>
  </si>
  <si>
    <t>auto</t>
  </si>
  <si>
    <t>[80, 100, 150]</t>
  </si>
  <si>
    <t xml:space="preserve"> [15]</t>
  </si>
  <si>
    <t>[80,85]</t>
  </si>
  <si>
    <t>[15,20]</t>
  </si>
  <si>
    <t>[32]</t>
  </si>
  <si>
    <t>[80]</t>
  </si>
  <si>
    <t>[20]</t>
  </si>
  <si>
    <t>[16]</t>
  </si>
  <si>
    <t>[75 , 80]</t>
  </si>
  <si>
    <t>[20, 25]</t>
  </si>
  <si>
    <t>[16,32]</t>
  </si>
  <si>
    <t>[25,30]</t>
  </si>
  <si>
    <t>[65,70]</t>
  </si>
  <si>
    <t>[50,55,65]</t>
  </si>
  <si>
    <t>[30]</t>
  </si>
  <si>
    <t>vs</t>
  </si>
  <si>
    <t>Learning rate</t>
  </si>
  <si>
    <t>n_estimators</t>
  </si>
  <si>
    <t>subsample</t>
  </si>
  <si>
    <t>colsample_bytree</t>
  </si>
  <si>
    <t>[0.7, 0.8, 1.0]</t>
  </si>
  <si>
    <r>
      <t>[</t>
    </r>
    <r>
      <rPr>
        <sz val="10"/>
        <rFont val="Aptos Narrow"/>
        <family val="2"/>
        <scheme val="minor"/>
      </rPr>
      <t>4, 6, 8, 10]</t>
    </r>
  </si>
  <si>
    <r>
      <t>[</t>
    </r>
    <r>
      <rPr>
        <sz val="10"/>
        <rFont val="Aptos Narrow"/>
        <family val="2"/>
        <scheme val="minor"/>
      </rPr>
      <t>0.05, 0.1, 0.2]</t>
    </r>
  </si>
  <si>
    <r>
      <t>[</t>
    </r>
    <r>
      <rPr>
        <sz val="10"/>
        <rFont val="Aptos Narrow"/>
        <family val="2"/>
        <scheme val="minor"/>
      </rPr>
      <t>100, 200]</t>
    </r>
  </si>
  <si>
    <r>
      <t>[</t>
    </r>
    <r>
      <rPr>
        <sz val="10"/>
        <rFont val="Aptos Narrow"/>
        <family val="2"/>
        <scheme val="minor"/>
      </rPr>
      <t>0.7, 0.8, 1.0]</t>
    </r>
  </si>
  <si>
    <t>Mục đích</t>
  </si>
  <si>
    <t>Fine-tune vùng lân cận kết quả trên</t>
  </si>
  <si>
    <t>Xác định miền tham số có tiềm năng</t>
  </si>
  <si>
    <t>Đánh giá chiến lược random feature</t>
  </si>
  <si>
    <t>Từ những kết quả trên sẽ đi tìm vùng hiệu quả của các tham số. Tách nhỏ ra để hạn chế việc tràn heap trong lúc train</t>
  </si>
  <si>
    <t>Tối ưu lại vùng tham số có hiệu suất cao nhất</t>
  </si>
  <si>
    <t>Lý do dừng huấn luyện: việc tiếp tục tối ưu hoá mang lại hiệu suất không đáng kể, đánh giá rằng mô hình đã bão hoà với mức suất trên chỉ số R2 là khoảng 0.8079 (khoảng 80,79%)</t>
  </si>
  <si>
    <r>
      <t>[</t>
    </r>
    <r>
      <rPr>
        <sz val="10"/>
        <rFont val="Aptos Narrow"/>
        <family val="2"/>
        <scheme val="minor"/>
      </rPr>
      <t>8, 9, 10, 11]</t>
    </r>
  </si>
  <si>
    <r>
      <t>[</t>
    </r>
    <r>
      <rPr>
        <sz val="10"/>
        <rFont val="Aptos Narrow"/>
        <family val="2"/>
        <scheme val="minor"/>
      </rPr>
      <t>0.1, 0.15, 0.2]</t>
    </r>
  </si>
  <si>
    <r>
      <t>[</t>
    </r>
    <r>
      <rPr>
        <sz val="10"/>
        <rFont val="Aptos Narrow"/>
        <family val="2"/>
        <scheme val="minor"/>
      </rPr>
      <t>0.8, 0.9, 1.0]</t>
    </r>
  </si>
  <si>
    <r>
      <t>[</t>
    </r>
    <r>
      <rPr>
        <sz val="10"/>
        <rFont val="Aptos Narrow"/>
        <family val="2"/>
        <scheme val="minor"/>
      </rPr>
      <t>0.6, 0.7, 0.8]</t>
    </r>
  </si>
  <si>
    <r>
      <t>[200</t>
    </r>
    <r>
      <rPr>
        <sz val="10"/>
        <rFont val="Aptos Narrow"/>
        <family val="2"/>
        <scheme val="minor"/>
      </rPr>
      <t>, 250, 300]</t>
    </r>
  </si>
  <si>
    <t>Với thông số tối ưu nhất, thử nghiệm với các parameter khác</t>
  </si>
  <si>
    <t>order</t>
  </si>
  <si>
    <t>default</t>
  </si>
  <si>
    <t>gamma [0, 0.1, 0.3]
reg_alpha [0, 0.5, 1]
reg_lambda, [1, 3, 5])</t>
  </si>
  <si>
    <t>Order</t>
  </si>
  <si>
    <t>gamma [0]
reg_alpha [0]
reg_lambda [1] (default)</t>
  </si>
  <si>
    <t>[0.2, 0.25, 0.3]</t>
  </si>
  <si>
    <t>[300, 350, 400]</t>
  </si>
  <si>
    <t>[0.5, 0.6]</t>
  </si>
  <si>
    <t>Nếu  setup các thông số như alpha,… không hiệu quả thì sẽ quay lại để tìm các vùng lân cận nhưng hướng về việc học lâu hơn</t>
  </si>
  <si>
    <t>[0.15, 0.17, 0.2]</t>
  </si>
  <si>
    <t>[300, 320, 350, 370, 400]</t>
  </si>
  <si>
    <t>Thử nghiệm với các learning rate và n_estimators lân cận tối ưu</t>
  </si>
  <si>
    <r>
      <rPr>
        <b/>
        <sz val="11"/>
        <color theme="1"/>
        <rFont val="Aptos Narrow"/>
        <family val="2"/>
        <scheme val="minor"/>
      </rPr>
      <t>Lý do dừng huấn luyện:</t>
    </r>
    <r>
      <rPr>
        <sz val="11"/>
        <color theme="1"/>
        <rFont val="Aptos Narrow"/>
        <family val="2"/>
        <scheme val="minor"/>
      </rPr>
      <t xml:space="preserve"> việc tiếp tục tối ưu hoá mang lại hiệu suất không đáng kể, đánh giá rằng mô hình đã bão hoà với độ chính xác tốt nhất là ~81.13% (R2)</t>
    </r>
  </si>
  <si>
    <t>[0.05, 0.1, 0.15, 0.2 ]</t>
  </si>
  <si>
    <t>[0.0, 0.01, 0.05]</t>
  </si>
  <si>
    <t>[0.025, 0.05, 0.0075]</t>
  </si>
  <si>
    <t>Lý do dừng huấn luyện: Mô hình không thể dự đoán được bất kỳ yếu tố nào (độ chính xác ~6.8%)</t>
  </si>
  <si>
    <t>Random Forest</t>
  </si>
  <si>
    <t>XGBoost</t>
  </si>
  <si>
    <t>Độ chính xác</t>
  </si>
  <si>
    <t>RMSE: 6.98173307178042
RMAE: 3.3063065533379
R2: 0.807791563834355</t>
  </si>
  <si>
    <t>RMSE: 6.91823325441787
RMAE: 3.27553066109784
R2: 0.811271988102267</t>
  </si>
  <si>
    <t>Sử dụng các thuộc tính để dự đoán</t>
  </si>
  <si>
    <t>2 mô hình đánh giá khác nhau về sức quan trọng của các thuộc tính. Nhưng vẫn có những thuộc tính giống nhau, cùng chiếm lượng tỷ trọng lớn trong việc đánh giá mức độ phổ biến như: Danceability, energy, loudness, speechiness</t>
  </si>
  <si>
    <t>Số tham số
t = số cây 
d = depth
n = số record
nodes per tree = 2^(d+1)-1
params = t * nodes per tree
số phép tính = t * d *n</t>
  </si>
  <si>
    <t>d = 70, t= 30
node per tree = 2^31 -1
params = 70 * (2^31 -1)
số phép tính = 2100 * n</t>
  </si>
  <si>
    <t>d = 350, t= 10
node per tree = 2^11 -1
params = 350 * (2^11 -1)
số phép tính = 3500 * n</t>
  </si>
  <si>
    <t>Khả năng tối ưu tính toán</t>
  </si>
  <si>
    <t>Ngôn ngữ thực thi: Scala / Java (JVM)
Cơ chế tìm split: Duyệt toàn bộ giá trị feature hoặc dùng aggregation → nhiều Spark stage
Xử lý song song: Theo cây hoặc theo partition dữ liệu (không đa luồng trong executor)
Đồng bộ giữa node: Dựa trên Spark Shuffle (nặng, nhiều IO mạng và disk)
Tối ưu bộ nhớ: Kém, do lưu trữ dạng Java object phân tán (nhiều overhead)
Số cây / độ sâu: Nhiều cây, độ sâu lớn → thời gian huấn luyện tăng tuyến tính</t>
  </si>
  <si>
    <t>Ngôn ngữ thực thi: C++ native (thông qua thư viện XGBoost4J-Spark)
Cơ chế tìm split: Dựa trên histogram (binning) → nhanh hơn, giảm độ phức tạp
Xử lý song song: Theo thread (OpenMP) trong mỗi executor; hỗ trợ GPU
Đồng bộ giữa node: Dùng AllReduce (Rabit / NCCL) hiệu quả hơn Spark Shuffle
Tối ưu bộ nhớ: Tốt, nhờ lưu trữ dạng mảng liên tục (C-style array)
Số cây / độ sâu: Ít cây hơn, độ sâu nông hơn (boosting theo gradient)</t>
  </si>
  <si>
    <t>Thời gian tính toán
*note:* lúc thực nghiệm không ghi toàn bộ nhưng dựa vào log hiện tại để kết luận</t>
  </si>
  <si>
    <t>Trung Bình khoảng 30 - 40 phút cho bộ tham số  với tổ hợp 4 mô hình
→ 1 mô hình khoảng 10 -15 phút để train</t>
  </si>
  <si>
    <t>Trung bình khoảng 4 phút cho mộ tham số với tổ hợp 30 mô hình
→ 1 mô hình khoảng 8 →  10 giây</t>
  </si>
  <si>
    <t>Kết luận</t>
  </si>
  <si>
    <t>Yêu cầu hệ thống</t>
  </si>
  <si>
    <t>Yêu cầu các worker phải cài đặt các thư viện tính toán pandas, pyarrow, numpy, scikit-learn, xgboost</t>
  </si>
  <si>
    <t>Mô hình không yêu cầu worker cài đặt các thư viện tính toán, nhưng yêu cầu về cấu hình cao. Tuy số lượng phép tính ít hơn,nhưng dung lượng chiếm nhiều hơn, reduce dữ liệu có dung lượng lớn hơn, làm chậm tốc độ tính toán đi đáng kể
→ mô hình dễ cài đặt, dễ sử dụng nhưng không quá phù hợp với các cấu hình có độ sâu cao</t>
  </si>
  <si>
    <t>Mô hình yêu cầu worker cài đặt nhiều hơn, nhưng yêu cầu về cấu hình không cao. Dung lượng các cây không lớn, nhưng số lượng cây nhiều làm tăng số phép tính. Thuật toán được tối ưu bằng C++ nên có thời gian chạy tốt. Hiệu suất cao.
→ Đây là mô hình hiệu quả nhất cho bài toán này</t>
  </si>
  <si>
    <t>Yêu cầu các worker có dung lượng Ram lớn, netword tốt để shuffle các cây  dung lượng 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</si>
</sst>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u/>
      <sz val="11"/>
      <color theme="1"/>
      <name val="Aptos Narrow"/>
      <family val="2"/>
      <scheme val="minor"/>
    </font>
    <font>
      <sz val="10"/>
      <color rgb="FFD4D4D4"/>
      <name val="Courier New"/>
      <family val="3"/>
    </font>
    <font>
      <sz val="10"/>
      <color rgb="FF9CDCFE"/>
      <name val="Courier New"/>
      <family val="3"/>
    </font>
    <font>
      <sz val="11"/>
      <name val="Aptos Narrow"/>
      <family val="2"/>
      <scheme val="minor"/>
    </font>
    <font>
      <sz val="10"/>
      <name val="Aptos Narrow"/>
      <family val="2"/>
      <scheme val="minor"/>
    </font>
    <font>
      <b/>
      <sz val="11"/>
      <name val="Aptos Narrow"/>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7">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wrapText="1"/>
    </xf>
    <xf numFmtId="0" fontId="0" fillId="0" borderId="1" xfId="0"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9" fontId="0" fillId="0" borderId="1" xfId="0" applyNumberFormat="1"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9" fontId="0" fillId="0" borderId="1" xfId="0" applyNumberFormat="1" applyBorder="1" applyAlignment="1">
      <alignment horizontal="center" vertical="center"/>
    </xf>
    <xf numFmtId="0" fontId="4" fillId="0" borderId="0" xfId="0" applyFont="1" applyAlignment="1">
      <alignment vertical="center"/>
    </xf>
    <xf numFmtId="0" fontId="3" fillId="0" borderId="0" xfId="0" applyFont="1" applyAlignment="1">
      <alignment vertical="center"/>
    </xf>
    <xf numFmtId="0" fontId="1" fillId="0" borderId="4" xfId="0"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xf numFmtId="0" fontId="1" fillId="0" borderId="1" xfId="0" applyFont="1" applyBorder="1" applyAlignment="1">
      <alignment horizontal="center" vertical="center"/>
    </xf>
    <xf numFmtId="0" fontId="0" fillId="0" borderId="1" xfId="0" applyBorder="1" applyAlignment="1">
      <alignment horizont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7"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5DB6-247A-4DA6-8184-72785F85F21F}">
  <dimension ref="A1:K6"/>
  <sheetViews>
    <sheetView tabSelected="1" zoomScale="130" zoomScaleNormal="130" workbookViewId="0">
      <selection activeCell="E13" sqref="E13"/>
    </sheetView>
  </sheetViews>
  <sheetFormatPr defaultRowHeight="14.5" x14ac:dyDescent="0.35"/>
  <cols>
    <col min="1" max="1" width="34.6328125" customWidth="1"/>
    <col min="2" max="2" width="19.54296875" bestFit="1" customWidth="1"/>
    <col min="3" max="3" width="10.90625" bestFit="1" customWidth="1"/>
    <col min="4" max="4" width="25.26953125" customWidth="1"/>
    <col min="5" max="5" width="19.7265625" customWidth="1"/>
    <col min="6" max="6" width="10.90625" customWidth="1"/>
    <col min="7" max="7" width="16" customWidth="1"/>
    <col min="11" max="11" width="16.26953125" customWidth="1"/>
  </cols>
  <sheetData>
    <row r="1" spans="1:11" x14ac:dyDescent="0.35">
      <c r="A1" s="25" t="s">
        <v>0</v>
      </c>
      <c r="B1" s="25" t="s">
        <v>1</v>
      </c>
      <c r="C1" s="25" t="s">
        <v>2</v>
      </c>
      <c r="D1" s="25" t="s">
        <v>3</v>
      </c>
      <c r="E1" s="25"/>
      <c r="F1" s="25" t="s">
        <v>15</v>
      </c>
      <c r="G1" s="25"/>
      <c r="H1" s="25"/>
      <c r="I1" s="25"/>
      <c r="J1" s="25"/>
      <c r="K1" s="25" t="s">
        <v>53</v>
      </c>
    </row>
    <row r="2" spans="1:11" x14ac:dyDescent="0.35">
      <c r="A2" s="25"/>
      <c r="B2" s="25"/>
      <c r="C2" s="25"/>
      <c r="D2" s="6" t="s">
        <v>6</v>
      </c>
      <c r="E2" s="12" t="s">
        <v>7</v>
      </c>
      <c r="F2" s="6" t="s">
        <v>6</v>
      </c>
      <c r="G2" s="13" t="s">
        <v>7</v>
      </c>
      <c r="H2" s="6" t="s">
        <v>5</v>
      </c>
      <c r="I2" s="6" t="s">
        <v>16</v>
      </c>
      <c r="J2" s="6" t="s">
        <v>17</v>
      </c>
      <c r="K2" s="25"/>
    </row>
    <row r="3" spans="1:11" ht="41" customHeight="1" x14ac:dyDescent="0.35">
      <c r="A3" s="30" t="s">
        <v>4</v>
      </c>
      <c r="B3" s="10" t="s">
        <v>5</v>
      </c>
      <c r="C3" s="14">
        <v>0.75</v>
      </c>
      <c r="D3" s="9" t="s">
        <v>8</v>
      </c>
      <c r="E3" s="9" t="s">
        <v>9</v>
      </c>
      <c r="F3" s="10">
        <v>0.1</v>
      </c>
      <c r="G3" s="10">
        <v>0</v>
      </c>
      <c r="H3" s="10">
        <v>15.370739190099901</v>
      </c>
      <c r="I3" s="10">
        <v>12.180121177038901</v>
      </c>
      <c r="J3" s="10">
        <v>6.8387148489763294E-2</v>
      </c>
      <c r="K3" s="3" t="s">
        <v>55</v>
      </c>
    </row>
    <row r="4" spans="1:11" ht="22" customHeight="1" x14ac:dyDescent="0.35">
      <c r="A4" s="30"/>
      <c r="B4" s="10" t="s">
        <v>16</v>
      </c>
      <c r="C4" s="14">
        <v>0.75</v>
      </c>
      <c r="D4" s="9" t="s">
        <v>79</v>
      </c>
      <c r="E4" s="9" t="s">
        <v>80</v>
      </c>
      <c r="F4" s="10">
        <v>0.05</v>
      </c>
      <c r="G4" s="10">
        <v>0</v>
      </c>
      <c r="H4" s="10">
        <v>15.3707061310838</v>
      </c>
      <c r="I4" s="10">
        <v>12.1797083501512</v>
      </c>
      <c r="J4" s="10">
        <v>6.83911558664764E-2</v>
      </c>
      <c r="K4" s="26" t="s">
        <v>58</v>
      </c>
    </row>
    <row r="5" spans="1:11" ht="30.5" customHeight="1" x14ac:dyDescent="0.35">
      <c r="A5" s="30"/>
      <c r="B5" s="10" t="s">
        <v>17</v>
      </c>
      <c r="C5" s="14">
        <v>0.75</v>
      </c>
      <c r="D5" s="9" t="s">
        <v>8</v>
      </c>
      <c r="E5" s="9" t="s">
        <v>81</v>
      </c>
      <c r="F5" s="10">
        <v>2.5000000000000001E-2</v>
      </c>
      <c r="G5" s="10">
        <v>0</v>
      </c>
      <c r="H5" s="10">
        <v>15.3706933952396</v>
      </c>
      <c r="I5" s="10">
        <v>12.1794997240067</v>
      </c>
      <c r="J5" s="10">
        <v>6.8392699688871697E-2</v>
      </c>
      <c r="K5" s="26"/>
    </row>
    <row r="6" spans="1:11" x14ac:dyDescent="0.35">
      <c r="A6" s="27" t="s">
        <v>82</v>
      </c>
      <c r="B6" s="28"/>
      <c r="C6" s="28"/>
      <c r="D6" s="28"/>
      <c r="E6" s="28"/>
      <c r="F6" s="28"/>
      <c r="G6" s="29"/>
      <c r="H6" s="1">
        <f xml:space="preserve"> MIN(H3:H5)</f>
        <v>15.3706933952396</v>
      </c>
      <c r="I6" s="1">
        <f t="shared" ref="I6" si="0" xml:space="preserve"> MIN(I3:I5)</f>
        <v>12.1794997240067</v>
      </c>
      <c r="J6" s="1">
        <f xml:space="preserve"> MAX(J3:J5)</f>
        <v>6.8392699688871697E-2</v>
      </c>
      <c r="K6" s="4"/>
    </row>
  </sheetData>
  <mergeCells count="9">
    <mergeCell ref="A6:G6"/>
    <mergeCell ref="A3:A5"/>
    <mergeCell ref="D1:E1"/>
    <mergeCell ref="F1:J1"/>
    <mergeCell ref="A1:A2"/>
    <mergeCell ref="B1:B2"/>
    <mergeCell ref="C1:C2"/>
    <mergeCell ref="K1:K2"/>
    <mergeCell ref="K4:K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C9971-68AC-461B-9019-F0EE0ADD4562}">
  <dimension ref="A1:Q11"/>
  <sheetViews>
    <sheetView topLeftCell="D1" zoomScale="160" zoomScaleNormal="160" workbookViewId="0">
      <selection activeCell="P9" sqref="P9"/>
    </sheetView>
  </sheetViews>
  <sheetFormatPr defaultRowHeight="14.5" x14ac:dyDescent="0.35"/>
  <cols>
    <col min="1" max="1" width="39.1796875" customWidth="1"/>
    <col min="2" max="2" width="19.54296875" bestFit="1" customWidth="1"/>
    <col min="3" max="3" width="10.90625" bestFit="1" customWidth="1"/>
    <col min="4" max="4" width="12.1796875" customWidth="1"/>
    <col min="5" max="5" width="9.453125" bestFit="1" customWidth="1"/>
    <col min="6" max="6" width="8" bestFit="1" customWidth="1"/>
    <col min="7" max="7" width="12.1796875" customWidth="1"/>
    <col min="8" max="8" width="12.453125" customWidth="1"/>
    <col min="9" max="9" width="10.7265625" customWidth="1"/>
    <col min="10" max="10" width="9.453125" bestFit="1" customWidth="1"/>
    <col min="11" max="11" width="8" bestFit="1" customWidth="1"/>
    <col min="12" max="12" width="12.26953125" customWidth="1"/>
    <col min="13" max="13" width="12.54296875" customWidth="1"/>
    <col min="14" max="14" width="10.453125" customWidth="1"/>
    <col min="15" max="15" width="9" customWidth="1"/>
    <col min="16" max="16" width="12.1796875" bestFit="1" customWidth="1"/>
    <col min="17" max="17" width="26.6328125" customWidth="1"/>
  </cols>
  <sheetData>
    <row r="1" spans="1:17" ht="29.5" customHeight="1" x14ac:dyDescent="0.35">
      <c r="A1" s="25" t="s">
        <v>0</v>
      </c>
      <c r="B1" s="25" t="s">
        <v>1</v>
      </c>
      <c r="C1" s="25" t="s">
        <v>2</v>
      </c>
      <c r="D1" s="25" t="s">
        <v>3</v>
      </c>
      <c r="E1" s="25"/>
      <c r="F1" s="25"/>
      <c r="G1" s="25"/>
      <c r="H1" s="25"/>
      <c r="I1" s="25" t="s">
        <v>15</v>
      </c>
      <c r="J1" s="25"/>
      <c r="K1" s="25"/>
      <c r="L1" s="25"/>
      <c r="M1" s="25"/>
      <c r="N1" s="25"/>
      <c r="O1" s="25"/>
      <c r="P1" s="25"/>
      <c r="Q1" s="25" t="s">
        <v>53</v>
      </c>
    </row>
    <row r="2" spans="1:17" ht="29" x14ac:dyDescent="0.35">
      <c r="A2" s="25"/>
      <c r="B2" s="25"/>
      <c r="C2" s="25"/>
      <c r="D2" s="5" t="s">
        <v>10</v>
      </c>
      <c r="E2" s="5" t="s">
        <v>11</v>
      </c>
      <c r="F2" s="5" t="s">
        <v>12</v>
      </c>
      <c r="G2" s="7" t="s">
        <v>13</v>
      </c>
      <c r="H2" s="7" t="s">
        <v>14</v>
      </c>
      <c r="I2" s="5" t="s">
        <v>10</v>
      </c>
      <c r="J2" s="5" t="s">
        <v>11</v>
      </c>
      <c r="K2" s="5" t="s">
        <v>12</v>
      </c>
      <c r="L2" s="7" t="s">
        <v>13</v>
      </c>
      <c r="M2" s="7" t="s">
        <v>14</v>
      </c>
      <c r="N2" s="5" t="s">
        <v>5</v>
      </c>
      <c r="O2" s="5" t="s">
        <v>16</v>
      </c>
      <c r="P2" s="5" t="s">
        <v>17</v>
      </c>
      <c r="Q2" s="25"/>
    </row>
    <row r="3" spans="1:17" ht="29" x14ac:dyDescent="0.35">
      <c r="A3" s="30" t="s">
        <v>18</v>
      </c>
      <c r="B3" s="4" t="s">
        <v>17</v>
      </c>
      <c r="C3" s="8">
        <v>0.75</v>
      </c>
      <c r="D3" s="4" t="s">
        <v>19</v>
      </c>
      <c r="E3" s="4" t="s">
        <v>20</v>
      </c>
      <c r="F3" s="4" t="s">
        <v>21</v>
      </c>
      <c r="G3" s="4" t="s">
        <v>22</v>
      </c>
      <c r="H3" s="4" t="s">
        <v>22</v>
      </c>
      <c r="I3" s="4">
        <v>100</v>
      </c>
      <c r="J3" s="4">
        <v>15</v>
      </c>
      <c r="K3" s="4">
        <v>32</v>
      </c>
      <c r="L3" s="4" t="s">
        <v>22</v>
      </c>
      <c r="M3" s="4" t="s">
        <v>22</v>
      </c>
      <c r="N3" s="11">
        <v>7.6417345839215898</v>
      </c>
      <c r="O3" s="4">
        <v>4.07448586165349</v>
      </c>
      <c r="P3" s="4">
        <v>0.76973397556790002</v>
      </c>
      <c r="Q3" s="2" t="s">
        <v>55</v>
      </c>
    </row>
    <row r="4" spans="1:17" ht="58" x14ac:dyDescent="0.35">
      <c r="A4" s="30"/>
      <c r="B4" s="4" t="s">
        <v>17</v>
      </c>
      <c r="C4" s="8">
        <v>0.75</v>
      </c>
      <c r="D4" s="4" t="s">
        <v>43</v>
      </c>
      <c r="E4" s="4" t="s">
        <v>23</v>
      </c>
      <c r="F4" s="4" t="s">
        <v>24</v>
      </c>
      <c r="G4" s="4" t="s">
        <v>25</v>
      </c>
      <c r="H4" s="11" t="s">
        <v>26</v>
      </c>
      <c r="I4" s="4">
        <v>100</v>
      </c>
      <c r="J4" s="4">
        <v>15</v>
      </c>
      <c r="K4" s="4">
        <v>32</v>
      </c>
      <c r="L4" s="4">
        <v>1</v>
      </c>
      <c r="M4" s="4" t="s">
        <v>27</v>
      </c>
      <c r="N4" s="11">
        <v>7.6641349955819598</v>
      </c>
      <c r="O4" s="4">
        <v>4.0975706144530504</v>
      </c>
      <c r="P4" s="4">
        <v>0.76838202761701402</v>
      </c>
      <c r="Q4" s="2" t="s">
        <v>56</v>
      </c>
    </row>
    <row r="5" spans="1:17" ht="14.5" customHeight="1" x14ac:dyDescent="0.35">
      <c r="A5" s="30"/>
      <c r="B5" s="4" t="s">
        <v>17</v>
      </c>
      <c r="C5" s="8">
        <v>0.75</v>
      </c>
      <c r="D5" s="4" t="s">
        <v>28</v>
      </c>
      <c r="E5" s="4" t="s">
        <v>29</v>
      </c>
      <c r="F5" s="4" t="s">
        <v>24</v>
      </c>
      <c r="G5" s="4" t="s">
        <v>22</v>
      </c>
      <c r="H5" s="4" t="s">
        <v>22</v>
      </c>
      <c r="I5" s="4">
        <v>80</v>
      </c>
      <c r="J5" s="4">
        <v>15</v>
      </c>
      <c r="K5" s="4">
        <v>32</v>
      </c>
      <c r="L5" s="4" t="s">
        <v>22</v>
      </c>
      <c r="M5" s="4" t="s">
        <v>22</v>
      </c>
      <c r="N5" s="11">
        <v>7.6313340959386498</v>
      </c>
      <c r="O5" s="4">
        <v>4.0639609688503198</v>
      </c>
      <c r="P5" s="4">
        <v>0.77036033840865603</v>
      </c>
      <c r="Q5" s="26" t="s">
        <v>57</v>
      </c>
    </row>
    <row r="6" spans="1:17" x14ac:dyDescent="0.35">
      <c r="A6" s="30"/>
      <c r="B6" s="4" t="s">
        <v>17</v>
      </c>
      <c r="C6" s="8">
        <v>0.75</v>
      </c>
      <c r="D6" s="4" t="s">
        <v>30</v>
      </c>
      <c r="E6" s="4" t="s">
        <v>31</v>
      </c>
      <c r="F6" s="4" t="s">
        <v>32</v>
      </c>
      <c r="G6" s="4" t="s">
        <v>22</v>
      </c>
      <c r="H6" s="4" t="s">
        <v>22</v>
      </c>
      <c r="I6" s="4">
        <v>80</v>
      </c>
      <c r="J6" s="4">
        <v>20</v>
      </c>
      <c r="K6" s="4">
        <v>32</v>
      </c>
      <c r="L6" s="4" t="s">
        <v>22</v>
      </c>
      <c r="M6" s="4" t="s">
        <v>22</v>
      </c>
      <c r="N6" s="11">
        <v>7.0162671406855397</v>
      </c>
      <c r="O6" s="4">
        <v>3.3576101104281899</v>
      </c>
      <c r="P6" s="4">
        <v>0.80588540225848904</v>
      </c>
      <c r="Q6" s="26"/>
    </row>
    <row r="7" spans="1:17" x14ac:dyDescent="0.35">
      <c r="A7" s="30"/>
      <c r="B7" s="4" t="s">
        <v>17</v>
      </c>
      <c r="C7" s="8">
        <v>0.75</v>
      </c>
      <c r="D7" s="4" t="s">
        <v>33</v>
      </c>
      <c r="E7" s="4" t="s">
        <v>34</v>
      </c>
      <c r="F7" s="4" t="s">
        <v>35</v>
      </c>
      <c r="G7" s="4" t="s">
        <v>22</v>
      </c>
      <c r="H7" s="4" t="s">
        <v>22</v>
      </c>
      <c r="I7" s="4">
        <v>80</v>
      </c>
      <c r="J7" s="4">
        <v>20</v>
      </c>
      <c r="K7" s="4">
        <v>16</v>
      </c>
      <c r="L7" s="4" t="s">
        <v>22</v>
      </c>
      <c r="M7" s="4" t="s">
        <v>22</v>
      </c>
      <c r="N7" s="11">
        <v>7.0247236095860801</v>
      </c>
      <c r="O7" s="4">
        <v>3.34924621227084</v>
      </c>
      <c r="P7" s="4">
        <v>0.805417200788204</v>
      </c>
      <c r="Q7" s="26"/>
    </row>
    <row r="8" spans="1:17" x14ac:dyDescent="0.35">
      <c r="A8" s="30"/>
      <c r="B8" s="4" t="s">
        <v>17</v>
      </c>
      <c r="C8" s="8">
        <v>0.75</v>
      </c>
      <c r="D8" s="4" t="s">
        <v>36</v>
      </c>
      <c r="E8" s="4" t="s">
        <v>37</v>
      </c>
      <c r="F8" s="4" t="s">
        <v>38</v>
      </c>
      <c r="G8" s="4" t="s">
        <v>22</v>
      </c>
      <c r="H8" s="4" t="s">
        <v>22</v>
      </c>
      <c r="I8" s="4">
        <v>75</v>
      </c>
      <c r="J8" s="4">
        <v>25</v>
      </c>
      <c r="K8" s="4">
        <v>32</v>
      </c>
      <c r="L8" s="4" t="s">
        <v>22</v>
      </c>
      <c r="M8" s="4" t="s">
        <v>22</v>
      </c>
      <c r="N8" s="11">
        <v>6.9838071057153002</v>
      </c>
      <c r="O8" s="4">
        <v>3.30871714672142</v>
      </c>
      <c r="P8" s="4">
        <v>0.80767734977683103</v>
      </c>
      <c r="Q8" s="26"/>
    </row>
    <row r="9" spans="1:17" x14ac:dyDescent="0.35">
      <c r="A9" s="30"/>
      <c r="B9" s="4" t="s">
        <v>17</v>
      </c>
      <c r="C9" s="8">
        <v>0.75</v>
      </c>
      <c r="D9" s="4" t="s">
        <v>40</v>
      </c>
      <c r="E9" s="4" t="s">
        <v>39</v>
      </c>
      <c r="F9" s="4" t="s">
        <v>32</v>
      </c>
      <c r="G9" s="4" t="s">
        <v>22</v>
      </c>
      <c r="H9" s="4" t="s">
        <v>22</v>
      </c>
      <c r="I9" s="4">
        <v>70</v>
      </c>
      <c r="J9" s="4">
        <v>30</v>
      </c>
      <c r="K9" s="4">
        <v>32</v>
      </c>
      <c r="L9" s="4" t="s">
        <v>22</v>
      </c>
      <c r="M9" s="4" t="s">
        <v>22</v>
      </c>
      <c r="N9" s="11">
        <v>6.98173307178042</v>
      </c>
      <c r="O9" s="11">
        <v>3.3063065533379001</v>
      </c>
      <c r="P9" s="11">
        <v>0.80779156383435502</v>
      </c>
      <c r="Q9" s="26"/>
    </row>
    <row r="10" spans="1:17" ht="29" x14ac:dyDescent="0.35">
      <c r="A10" s="30"/>
      <c r="B10" s="4" t="s">
        <v>17</v>
      </c>
      <c r="C10" s="8">
        <v>0.75</v>
      </c>
      <c r="D10" s="4" t="s">
        <v>41</v>
      </c>
      <c r="E10" s="4" t="s">
        <v>42</v>
      </c>
      <c r="F10" s="4" t="s">
        <v>32</v>
      </c>
      <c r="G10" s="4" t="s">
        <v>22</v>
      </c>
      <c r="H10" s="4" t="s">
        <v>22</v>
      </c>
      <c r="I10" s="4">
        <v>55</v>
      </c>
      <c r="J10" s="4">
        <v>30</v>
      </c>
      <c r="K10" s="4">
        <v>32</v>
      </c>
      <c r="L10" s="4" t="s">
        <v>22</v>
      </c>
      <c r="M10" s="4" t="s">
        <v>22</v>
      </c>
      <c r="N10" s="11">
        <v>6.9831120432725298</v>
      </c>
      <c r="O10" s="11">
        <v>3.3061905849957198</v>
      </c>
      <c r="P10" s="11">
        <v>0.80771562964252197</v>
      </c>
      <c r="Q10" s="2" t="s">
        <v>58</v>
      </c>
    </row>
    <row r="11" spans="1:17" ht="21" customHeight="1" x14ac:dyDescent="0.35">
      <c r="A11" s="31" t="s">
        <v>59</v>
      </c>
      <c r="B11" s="31"/>
      <c r="C11" s="31"/>
      <c r="D11" s="31"/>
      <c r="E11" s="31"/>
      <c r="F11" s="31"/>
      <c r="G11" s="31"/>
      <c r="H11" s="31"/>
      <c r="I11" s="31"/>
      <c r="J11" s="31"/>
      <c r="K11" s="31"/>
      <c r="L11" s="31"/>
      <c r="M11" s="31"/>
      <c r="N11" s="1">
        <f>MIN(N3:N10)</f>
        <v>6.98173307178042</v>
      </c>
      <c r="O11" s="1">
        <f t="shared" ref="O11" si="0">MIN(O3:O10)</f>
        <v>3.3061905849957198</v>
      </c>
      <c r="P11" s="1">
        <f>MAX(P3:P10)</f>
        <v>0.80779156383435502</v>
      </c>
      <c r="Q11" s="1"/>
    </row>
  </sheetData>
  <mergeCells count="9">
    <mergeCell ref="Q1:Q2"/>
    <mergeCell ref="Q5:Q9"/>
    <mergeCell ref="A11:M11"/>
    <mergeCell ref="A3:A10"/>
    <mergeCell ref="D1:H1"/>
    <mergeCell ref="I1:P1"/>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F4DC-8AEA-4E7B-B31B-C97BB00D1F1D}">
  <dimension ref="A1:Z24"/>
  <sheetViews>
    <sheetView topLeftCell="G1" zoomScale="130" zoomScaleNormal="130" workbookViewId="0">
      <selection activeCell="R6" sqref="R6"/>
    </sheetView>
  </sheetViews>
  <sheetFormatPr defaultRowHeight="14.5" x14ac:dyDescent="0.35"/>
  <cols>
    <col min="1" max="1" width="48.6328125" customWidth="1"/>
    <col min="2" max="2" width="19.54296875" bestFit="1" customWidth="1"/>
    <col min="3" max="3" width="11" bestFit="1" customWidth="1"/>
    <col min="4" max="4" width="11.7265625" bestFit="1" customWidth="1"/>
    <col min="5" max="5" width="13.90625" bestFit="1" customWidth="1"/>
    <col min="6" max="6" width="16.26953125" bestFit="1" customWidth="1"/>
    <col min="7" max="7" width="15" customWidth="1"/>
    <col min="8" max="8" width="16.36328125" customWidth="1"/>
    <col min="9" max="9" width="18.26953125" customWidth="1"/>
    <col min="10" max="10" width="10.1796875" customWidth="1"/>
    <col min="11" max="11" width="12.36328125" customWidth="1"/>
    <col min="12" max="12" width="12.453125" customWidth="1"/>
    <col min="13" max="13" width="10" bestFit="1" customWidth="1"/>
    <col min="14" max="14" width="15.90625" bestFit="1" customWidth="1"/>
    <col min="15" max="15" width="15.90625" customWidth="1"/>
    <col min="16" max="18" width="11.81640625" bestFit="1" customWidth="1"/>
    <col min="19" max="19" width="29.26953125" bestFit="1" customWidth="1"/>
  </cols>
  <sheetData>
    <row r="1" spans="1:26" ht="25" customHeight="1" x14ac:dyDescent="0.35">
      <c r="A1" s="32" t="s">
        <v>0</v>
      </c>
      <c r="B1" s="32" t="s">
        <v>1</v>
      </c>
      <c r="C1" s="32" t="s">
        <v>2</v>
      </c>
      <c r="D1" s="32" t="s">
        <v>3</v>
      </c>
      <c r="E1" s="32"/>
      <c r="F1" s="32"/>
      <c r="G1" s="32"/>
      <c r="H1" s="32"/>
      <c r="I1" s="18"/>
      <c r="J1" s="32" t="s">
        <v>15</v>
      </c>
      <c r="K1" s="32"/>
      <c r="L1" s="32"/>
      <c r="M1" s="32"/>
      <c r="N1" s="32"/>
      <c r="O1" s="32"/>
      <c r="P1" s="32"/>
      <c r="Q1" s="32"/>
      <c r="R1" s="32"/>
      <c r="S1" s="32" t="s">
        <v>53</v>
      </c>
      <c r="T1" s="17"/>
      <c r="U1" s="17"/>
      <c r="V1" s="17"/>
      <c r="W1" s="17"/>
      <c r="X1" s="17"/>
      <c r="Y1" s="17"/>
      <c r="Z1" s="17"/>
    </row>
    <row r="2" spans="1:26" ht="29" x14ac:dyDescent="0.35">
      <c r="A2" s="32"/>
      <c r="B2" s="32"/>
      <c r="C2" s="32"/>
      <c r="D2" s="18" t="s">
        <v>11</v>
      </c>
      <c r="E2" s="18" t="s">
        <v>44</v>
      </c>
      <c r="F2" s="18" t="s">
        <v>45</v>
      </c>
      <c r="G2" s="19" t="s">
        <v>46</v>
      </c>
      <c r="H2" s="19" t="s">
        <v>47</v>
      </c>
      <c r="I2" s="19" t="s">
        <v>66</v>
      </c>
      <c r="J2" s="18" t="s">
        <v>11</v>
      </c>
      <c r="K2" s="18" t="s">
        <v>44</v>
      </c>
      <c r="L2" s="18" t="s">
        <v>45</v>
      </c>
      <c r="M2" s="19" t="s">
        <v>46</v>
      </c>
      <c r="N2" s="19" t="s">
        <v>47</v>
      </c>
      <c r="O2" s="19" t="s">
        <v>69</v>
      </c>
      <c r="P2" s="18" t="s">
        <v>5</v>
      </c>
      <c r="Q2" s="18" t="s">
        <v>16</v>
      </c>
      <c r="R2" s="18" t="s">
        <v>17</v>
      </c>
      <c r="S2" s="32"/>
    </row>
    <row r="3" spans="1:26" ht="14.5" customHeight="1" x14ac:dyDescent="0.35">
      <c r="A3" s="33" t="s">
        <v>18</v>
      </c>
      <c r="B3" s="20" t="s">
        <v>5</v>
      </c>
      <c r="C3" s="21">
        <v>0.75</v>
      </c>
      <c r="D3" s="20" t="s">
        <v>49</v>
      </c>
      <c r="E3" s="20" t="s">
        <v>50</v>
      </c>
      <c r="F3" s="20" t="s">
        <v>51</v>
      </c>
      <c r="G3" s="20" t="s">
        <v>52</v>
      </c>
      <c r="H3" s="20" t="s">
        <v>48</v>
      </c>
      <c r="I3" s="20" t="s">
        <v>67</v>
      </c>
      <c r="J3" s="20">
        <v>10</v>
      </c>
      <c r="K3" s="20">
        <v>0.2</v>
      </c>
      <c r="L3" s="20">
        <v>200</v>
      </c>
      <c r="M3" s="20">
        <v>1</v>
      </c>
      <c r="N3" s="22">
        <v>0.7</v>
      </c>
      <c r="O3" s="20" t="s">
        <v>67</v>
      </c>
      <c r="P3" s="22">
        <v>6.9512062738578502</v>
      </c>
      <c r="Q3" s="22">
        <v>3.30513077978785</v>
      </c>
      <c r="R3" s="22">
        <v>0.80946870632571899</v>
      </c>
      <c r="S3" s="24" t="s">
        <v>55</v>
      </c>
    </row>
    <row r="4" spans="1:26" x14ac:dyDescent="0.35">
      <c r="A4" s="33"/>
      <c r="B4" s="20" t="s">
        <v>5</v>
      </c>
      <c r="C4" s="21">
        <v>0.75</v>
      </c>
      <c r="D4" s="20" t="s">
        <v>60</v>
      </c>
      <c r="E4" s="20" t="s">
        <v>61</v>
      </c>
      <c r="F4" s="20" t="s">
        <v>64</v>
      </c>
      <c r="G4" s="20" t="s">
        <v>62</v>
      </c>
      <c r="H4" s="20" t="s">
        <v>63</v>
      </c>
      <c r="I4" s="20" t="s">
        <v>67</v>
      </c>
      <c r="J4" s="20">
        <v>10</v>
      </c>
      <c r="K4" s="20">
        <v>0.2</v>
      </c>
      <c r="L4" s="20">
        <v>300</v>
      </c>
      <c r="M4" s="20">
        <v>1</v>
      </c>
      <c r="N4" s="22">
        <v>0.6</v>
      </c>
      <c r="O4" s="20" t="s">
        <v>67</v>
      </c>
      <c r="P4" s="22">
        <v>6.9203095705401303</v>
      </c>
      <c r="Q4" s="22">
        <v>3.2794584239538001</v>
      </c>
      <c r="R4" s="22">
        <v>0.81115868813037395</v>
      </c>
      <c r="S4" s="24" t="s">
        <v>54</v>
      </c>
    </row>
    <row r="5" spans="1:26" ht="58" x14ac:dyDescent="0.35">
      <c r="A5" s="33"/>
      <c r="B5" s="20" t="s">
        <v>5</v>
      </c>
      <c r="C5" s="21">
        <v>0.75</v>
      </c>
      <c r="D5" s="20">
        <v>10</v>
      </c>
      <c r="E5" s="20">
        <v>0.2</v>
      </c>
      <c r="F5" s="20">
        <v>300</v>
      </c>
      <c r="G5" s="20">
        <v>1</v>
      </c>
      <c r="H5" s="20">
        <v>0.6</v>
      </c>
      <c r="I5" s="23" t="s">
        <v>68</v>
      </c>
      <c r="J5" s="20">
        <v>10</v>
      </c>
      <c r="K5" s="20">
        <v>0.2</v>
      </c>
      <c r="L5" s="20">
        <v>300</v>
      </c>
      <c r="M5" s="20">
        <v>1</v>
      </c>
      <c r="N5" s="22">
        <v>0.6</v>
      </c>
      <c r="O5" s="23" t="s">
        <v>70</v>
      </c>
      <c r="P5" s="22">
        <v>6.9203095705401303</v>
      </c>
      <c r="Q5" s="22">
        <v>3.2794584239538001</v>
      </c>
      <c r="R5" s="22">
        <v>0.81115868813037395</v>
      </c>
      <c r="S5" s="22" t="s">
        <v>65</v>
      </c>
    </row>
    <row r="6" spans="1:26" ht="58" x14ac:dyDescent="0.35">
      <c r="A6" s="33"/>
      <c r="B6" s="20" t="s">
        <v>5</v>
      </c>
      <c r="C6" s="21">
        <v>0.75</v>
      </c>
      <c r="D6" s="20">
        <v>10</v>
      </c>
      <c r="E6" s="20" t="s">
        <v>71</v>
      </c>
      <c r="F6" s="20" t="s">
        <v>72</v>
      </c>
      <c r="G6" s="20">
        <v>1</v>
      </c>
      <c r="H6" s="20" t="s">
        <v>73</v>
      </c>
      <c r="I6" s="20" t="s">
        <v>67</v>
      </c>
      <c r="J6" s="20">
        <v>10</v>
      </c>
      <c r="K6" s="20">
        <v>0.2</v>
      </c>
      <c r="L6" s="20">
        <v>350</v>
      </c>
      <c r="M6" s="20">
        <v>1</v>
      </c>
      <c r="N6" s="20">
        <v>0.6</v>
      </c>
      <c r="O6" s="20" t="s">
        <v>67</v>
      </c>
      <c r="P6" s="22">
        <v>6.9182332544178697</v>
      </c>
      <c r="Q6" s="22">
        <v>3.2755306610978399</v>
      </c>
      <c r="R6" s="22">
        <v>0.81127198810226697</v>
      </c>
      <c r="S6" s="22" t="s">
        <v>74</v>
      </c>
    </row>
    <row r="7" spans="1:26" ht="29" x14ac:dyDescent="0.35">
      <c r="A7" s="33"/>
      <c r="B7" s="20" t="s">
        <v>5</v>
      </c>
      <c r="C7" s="21">
        <v>0.75</v>
      </c>
      <c r="D7" s="20">
        <v>10</v>
      </c>
      <c r="E7" s="20" t="s">
        <v>75</v>
      </c>
      <c r="F7" s="22" t="s">
        <v>76</v>
      </c>
      <c r="G7" s="20">
        <v>1</v>
      </c>
      <c r="H7" s="20" t="s">
        <v>73</v>
      </c>
      <c r="I7" s="20" t="s">
        <v>67</v>
      </c>
      <c r="J7" s="20">
        <v>10</v>
      </c>
      <c r="K7" s="20">
        <v>0.2</v>
      </c>
      <c r="L7" s="20">
        <v>320</v>
      </c>
      <c r="M7" s="20">
        <v>1</v>
      </c>
      <c r="N7" s="20">
        <v>0.6</v>
      </c>
      <c r="O7" s="20" t="s">
        <v>67</v>
      </c>
      <c r="P7" s="22">
        <v>6.9190995347126103</v>
      </c>
      <c r="Q7" s="22">
        <v>3.2774398626078698</v>
      </c>
      <c r="R7" s="22">
        <v>0.81122472123868905</v>
      </c>
      <c r="S7" s="22" t="s">
        <v>77</v>
      </c>
    </row>
    <row r="8" spans="1:26" ht="29.5" customHeight="1" x14ac:dyDescent="0.35">
      <c r="A8" s="31" t="s">
        <v>78</v>
      </c>
      <c r="B8" s="31"/>
      <c r="C8" s="31"/>
      <c r="D8" s="31"/>
      <c r="E8" s="31"/>
      <c r="F8" s="31"/>
      <c r="G8" s="31"/>
      <c r="H8" s="31"/>
      <c r="I8" s="31"/>
      <c r="J8" s="31"/>
      <c r="K8" s="31"/>
      <c r="L8" s="31"/>
      <c r="M8" s="31"/>
      <c r="N8" s="31"/>
      <c r="O8" s="31"/>
      <c r="P8" s="1">
        <f>MIN(P3:P7)</f>
        <v>6.9182332544178697</v>
      </c>
      <c r="Q8" s="1">
        <f>MIN(Q3:Q7)</f>
        <v>3.2755306610978399</v>
      </c>
      <c r="R8" s="1">
        <f>MAX(R3:R7)</f>
        <v>0.81127198810226697</v>
      </c>
      <c r="S8" s="1"/>
    </row>
    <row r="15" spans="1:26" x14ac:dyDescent="0.35">
      <c r="E15" s="15"/>
    </row>
    <row r="16" spans="1:26" x14ac:dyDescent="0.35">
      <c r="E16" s="16"/>
    </row>
    <row r="17" spans="5:5" x14ac:dyDescent="0.35">
      <c r="E17" s="16"/>
    </row>
    <row r="18" spans="5:5" x14ac:dyDescent="0.35">
      <c r="E18" s="16"/>
    </row>
    <row r="19" spans="5:5" x14ac:dyDescent="0.35">
      <c r="E19" s="16"/>
    </row>
    <row r="20" spans="5:5" x14ac:dyDescent="0.35">
      <c r="E20" s="16"/>
    </row>
    <row r="21" spans="5:5" x14ac:dyDescent="0.35">
      <c r="E21" s="16"/>
    </row>
    <row r="22" spans="5:5" x14ac:dyDescent="0.35">
      <c r="E22" s="16"/>
    </row>
    <row r="23" spans="5:5" x14ac:dyDescent="0.35">
      <c r="E23" s="16"/>
    </row>
    <row r="24" spans="5:5" x14ac:dyDescent="0.35">
      <c r="E24" s="16"/>
    </row>
  </sheetData>
  <mergeCells count="8">
    <mergeCell ref="S1:S2"/>
    <mergeCell ref="A3:A7"/>
    <mergeCell ref="A8:O8"/>
    <mergeCell ref="D1:H1"/>
    <mergeCell ref="J1:R1"/>
    <mergeCell ref="A1:A2"/>
    <mergeCell ref="B1:B2"/>
    <mergeCell ref="C1: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313CF-9046-426C-86E6-A32643142AF0}">
  <dimension ref="A1:C8"/>
  <sheetViews>
    <sheetView topLeftCell="A6" zoomScale="160" zoomScaleNormal="160" workbookViewId="0">
      <selection activeCell="D10" sqref="D10"/>
    </sheetView>
  </sheetViews>
  <sheetFormatPr defaultRowHeight="14.5" x14ac:dyDescent="0.35"/>
  <cols>
    <col min="1" max="1" width="24.6328125" customWidth="1"/>
    <col min="2" max="2" width="36.453125" customWidth="1"/>
    <col min="3" max="3" width="36.36328125" customWidth="1"/>
  </cols>
  <sheetData>
    <row r="1" spans="1:3" x14ac:dyDescent="0.35">
      <c r="A1" s="10"/>
      <c r="B1" s="10" t="s">
        <v>83</v>
      </c>
      <c r="C1" s="10" t="s">
        <v>84</v>
      </c>
    </row>
    <row r="2" spans="1:3" ht="43.5" x14ac:dyDescent="0.35">
      <c r="A2" s="10" t="s">
        <v>85</v>
      </c>
      <c r="B2" s="9" t="s">
        <v>86</v>
      </c>
      <c r="C2" s="9" t="s">
        <v>87</v>
      </c>
    </row>
    <row r="3" spans="1:3" ht="80.5" customHeight="1" x14ac:dyDescent="0.35">
      <c r="A3" s="9" t="s">
        <v>88</v>
      </c>
      <c r="B3" s="30" t="s">
        <v>89</v>
      </c>
      <c r="C3" s="30"/>
    </row>
    <row r="4" spans="1:3" ht="101.5" x14ac:dyDescent="0.35">
      <c r="A4" s="34" t="s">
        <v>90</v>
      </c>
      <c r="B4" s="34" t="s">
        <v>91</v>
      </c>
      <c r="C4" s="34" t="s">
        <v>92</v>
      </c>
    </row>
    <row r="5" spans="1:3" ht="188.5" x14ac:dyDescent="0.35">
      <c r="A5" s="4" t="s">
        <v>93</v>
      </c>
      <c r="B5" s="35" t="s">
        <v>94</v>
      </c>
      <c r="C5" s="36" t="s">
        <v>95</v>
      </c>
    </row>
    <row r="6" spans="1:3" ht="58" x14ac:dyDescent="0.35">
      <c r="A6" s="36" t="s">
        <v>96</v>
      </c>
      <c r="B6" s="36" t="s">
        <v>97</v>
      </c>
      <c r="C6" s="36" t="s">
        <v>98</v>
      </c>
    </row>
    <row r="7" spans="1:3" ht="43.5" x14ac:dyDescent="0.35">
      <c r="A7" s="36" t="s">
        <v>100</v>
      </c>
      <c r="B7" s="36" t="s">
        <v>104</v>
      </c>
      <c r="C7" s="36" t="s">
        <v>101</v>
      </c>
    </row>
    <row r="8" spans="1:3" ht="130.5" x14ac:dyDescent="0.35">
      <c r="A8" s="4" t="s">
        <v>99</v>
      </c>
      <c r="B8" s="2" t="s">
        <v>102</v>
      </c>
      <c r="C8" s="36" t="s">
        <v>103</v>
      </c>
    </row>
  </sheetData>
  <mergeCells count="1">
    <mergeCell ref="B3:C3"/>
  </mergeCells>
  <pageMargins left="0.25" right="0.25" top="0.75" bottom="0.75" header="0.3" footer="0.3"/>
  <pageSetup paperSize="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Linear Regression</vt:lpstr>
      <vt:lpstr>Random Forest</vt:lpstr>
      <vt:lpstr>XG Boost</vt:lpstr>
      <vt:lpstr>SoSanh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Tường Lưu</dc:creator>
  <cp:lastModifiedBy>Tường Lưu</cp:lastModifiedBy>
  <cp:lastPrinted>2025-10-17T04:14:02Z</cp:lastPrinted>
  <dcterms:created xsi:type="dcterms:W3CDTF">2025-10-16T03:41:12Z</dcterms:created>
  <dcterms:modified xsi:type="dcterms:W3CDTF">2025-10-17T06:16:05Z</dcterms:modified>
</cp:coreProperties>
</file>